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I Model" sheetId="1" r:id="rId4"/>
  </sheets>
  <definedNames/>
  <calcPr/>
  <extLst>
    <ext uri="GoogleSheetsCustomDataVersion2">
      <go:sheetsCustomData xmlns:go="http://customooxmlschemas.google.com/" r:id="rId5" roundtripDataChecksum="Fnbbo0fy0ZfH0lBA3QPmwg6ZbItngXgSHRBStS4brjI="/>
    </ext>
  </extLst>
</workbook>
</file>

<file path=xl/sharedStrings.xml><?xml version="1.0" encoding="utf-8"?>
<sst xmlns="http://schemas.openxmlformats.org/spreadsheetml/2006/main" count="68" uniqueCount="61">
  <si>
    <t>BlueWave Swell — ROI Model</t>
  </si>
  <si>
    <t>Edit the blue values below to see how the numbers change</t>
  </si>
  <si>
    <t>YOUR INPUTS</t>
  </si>
  <si>
    <t>Number of recruiters</t>
  </si>
  <si>
    <t>We estaimte BlueWave has 18–20 recruiters</t>
  </si>
  <si>
    <t>Fully-loaded cost per recruiter (annual)</t>
  </si>
  <si>
    <t>Salary + benefits + tools + overhead</t>
  </si>
  <si>
    <t>% time on unqualified candidates</t>
  </si>
  <si>
    <t>BlueWave team estimated 75–80%</t>
  </si>
  <si>
    <t>Company annual revenue</t>
  </si>
  <si>
    <t>Average placement value (gross revenue)</t>
  </si>
  <si>
    <t>Varies by role type; use your average</t>
  </si>
  <si>
    <t>Placements per recruiter per month</t>
  </si>
  <si>
    <t>SWELL ASSUMPTIONS</t>
  </si>
  <si>
    <t>Expected reduction in unqualified screening time</t>
  </si>
  <si>
    <t>Conservative: 50%. Optimistic: 70–80%.</t>
  </si>
  <si>
    <t>Expected increase in placements per recruiter</t>
  </si>
  <si>
    <t>25% = 1 extra placement/month per recruiter</t>
  </si>
  <si>
    <t>Swell Phase 1 cost</t>
  </si>
  <si>
    <t>Swell Phase 2 cost (midpoint of range)</t>
  </si>
  <si>
    <t>Range: $120K–$180K</t>
  </si>
  <si>
    <t>Estimated annual maintenance / support</t>
  </si>
  <si>
    <t>CURRENT STATE (calculated)</t>
  </si>
  <si>
    <t>Total recruiter labor cost (annual)</t>
  </si>
  <si>
    <t>Annual cost wasted on unqualified candidates</t>
  </si>
  <si>
    <t>Monthly cost wasted on unqualified candidates</t>
  </si>
  <si>
    <t>Current annual placements (all recruiters)</t>
  </si>
  <si>
    <t>Current annual placement revenue</t>
  </si>
  <si>
    <t>Revenue per recruiter per year</t>
  </si>
  <si>
    <t>WITH SWELL (Year 1)</t>
  </si>
  <si>
    <t>Recruiter time recaptured from screening waste</t>
  </si>
  <si>
    <t>Additional placements per year (all recruiters)</t>
  </si>
  <si>
    <t>Incremental placement revenue (annual)</t>
  </si>
  <si>
    <t>Incremental placement revenue (monthly)</t>
  </si>
  <si>
    <t>ROI SUMMARY</t>
  </si>
  <si>
    <t>Year 1</t>
  </si>
  <si>
    <t>Year 2</t>
  </si>
  <si>
    <t>Year 3</t>
  </si>
  <si>
    <t>Swell investment</t>
  </si>
  <si>
    <t>Labor waste recovered</t>
  </si>
  <si>
    <t>Incremental placement revenue</t>
  </si>
  <si>
    <t>Total annual benefit</t>
  </si>
  <si>
    <t>Net benefit (benefit minus investment)</t>
  </si>
  <si>
    <t>Cumulative net benefit</t>
  </si>
  <si>
    <t>ROI (net benefit / investment)</t>
  </si>
  <si>
    <t>BREAK-EVEN</t>
  </si>
  <si>
    <t>Total Swell investment (Phase 1 + Phase 2)</t>
  </si>
  <si>
    <t>Monthly benefit (labor + revenue)</t>
  </si>
  <si>
    <t>Months to break even on build investment</t>
  </si>
  <si>
    <t>COMPARISON: SaaS ALTERNATIVE</t>
  </si>
  <si>
    <t>Estimated annual SaaS cost (enterprise AI platform)</t>
  </si>
  <si>
    <t>Industry range: $120K–$360K+/year</t>
  </si>
  <si>
    <t>SaaS cumulative cost</t>
  </si>
  <si>
    <t>Swell cumulative cost (build + maintenance)</t>
  </si>
  <si>
    <t>Swell savings vs. SaaS (cumulative)</t>
  </si>
  <si>
    <t>IP asset value with SaaS</t>
  </si>
  <si>
    <t>$0</t>
  </si>
  <si>
    <t>IP asset value with Swell</t>
  </si>
  <si>
    <t>Proprietary software IP</t>
  </si>
  <si>
    <t>This model uses conservative assumptions. Adjust the blue values above to test different scenarios.</t>
  </si>
  <si>
    <t>Prepared by Mirror Factory for BlueWave Resource Partners.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</si>
</sst>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\$#,##0;&quot;($&quot;#,##0\);\-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1A1A1A"/>
      <name val="Arial"/>
    </font>
    <font>
      <sz val="11.0"/>
      <color rgb="FF557170"/>
      <name val="Arial"/>
    </font>
    <font>
      <b/>
      <sz val="12.0"/>
      <color rgb="FF557170"/>
      <name val="Arial"/>
    </font>
    <font>
      <sz val="10.0"/>
      <color rgb="FF1A1A1A"/>
      <name val="Arial"/>
    </font>
    <font>
      <b/>
      <sz val="10.0"/>
      <color rgb="FF0000FF"/>
      <name val="Arial"/>
    </font>
    <font>
      <i/>
      <sz val="9.0"/>
      <color rgb="FF557170"/>
      <name val="Arial"/>
    </font>
    <font>
      <b/>
      <sz val="10.0"/>
      <color rgb="FF1A1A1A"/>
      <name val="Arial"/>
    </font>
    <font>
      <b/>
      <sz val="10.0"/>
      <color rgb="FFFFFFFF"/>
      <name val="Arial"/>
    </font>
    <font>
      <b/>
      <sz val="10.0"/>
      <color rgb="FF2DB87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DE7"/>
        <bgColor rgb="FFFFFDE7"/>
      </patternFill>
    </fill>
    <fill>
      <patternFill patternType="solid">
        <fgColor rgb="FFF0FAF5"/>
        <bgColor rgb="FFF0FAF5"/>
      </patternFill>
    </fill>
    <fill>
      <patternFill patternType="solid">
        <fgColor rgb="FF557170"/>
        <bgColor rgb="FF557170"/>
      </patternFill>
    </fill>
  </fills>
  <borders count="3">
    <border/>
    <border>
      <bottom style="medium">
        <color rgb="FF2DB8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horizontal="right" shrinkToFit="0" vertical="bottom" wrapText="0"/>
    </xf>
    <xf borderId="0" fillId="0" fontId="7" numFmtId="0" xfId="0" applyAlignment="1" applyFont="1">
      <alignment readingOrder="0" shrinkToFit="0" vertical="bottom" wrapText="0"/>
    </xf>
    <xf borderId="2" fillId="2" fontId="6" numFmtId="164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2" fillId="2" fontId="6" numFmtId="9" xfId="0" applyAlignment="1" applyBorder="1" applyFont="1" applyNumberFormat="1">
      <alignment horizontal="right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8" numFmtId="0" xfId="0" applyAlignment="1" applyFont="1">
      <alignment shrinkToFit="0" vertical="bottom" wrapText="0"/>
    </xf>
    <xf borderId="2" fillId="3" fontId="8" numFmtId="164" xfId="0" applyAlignment="1" applyBorder="1" applyFill="1" applyFont="1" applyNumberFormat="1">
      <alignment horizontal="right" shrinkToFit="0" vertical="bottom" wrapText="0"/>
    </xf>
    <xf borderId="0" fillId="0" fontId="5" numFmtId="3" xfId="0" applyAlignment="1" applyFont="1" applyNumberFormat="1">
      <alignment horizontal="right" shrinkToFit="0" vertical="bottom" wrapText="0"/>
    </xf>
    <xf borderId="2" fillId="4" fontId="9" numFmtId="0" xfId="0" applyAlignment="1" applyBorder="1" applyFill="1" applyFont="1">
      <alignment horizontal="center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2" fillId="3" fontId="8" numFmtId="165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9" xfId="0" applyAlignment="1" applyFont="1" applyNumberFormat="1">
      <alignment horizontal="right" shrinkToFit="0" vertical="bottom" wrapText="0"/>
    </xf>
    <xf borderId="2" fillId="3" fontId="8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0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B87F"/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5" width="18.0"/>
    <col customWidth="1" min="6" max="6" width="3.0"/>
    <col customWidth="1" min="7" max="7" width="30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19.5" customHeight="1">
      <c r="A2" s="1"/>
      <c r="B2" s="2" t="s">
        <v>0</v>
      </c>
      <c r="F2" s="1"/>
      <c r="G2" s="1"/>
    </row>
    <row r="3" ht="15.0" customHeight="1">
      <c r="A3" s="1"/>
      <c r="B3" s="3" t="s">
        <v>1</v>
      </c>
      <c r="F3" s="1"/>
      <c r="G3" s="1"/>
    </row>
    <row r="4">
      <c r="A4" s="1"/>
      <c r="B4" s="1"/>
      <c r="C4" s="1"/>
      <c r="D4" s="1"/>
      <c r="E4" s="1"/>
      <c r="F4" s="1"/>
      <c r="G4" s="1"/>
    </row>
    <row r="5" ht="15.0" customHeight="1">
      <c r="A5" s="1"/>
      <c r="B5" s="4" t="s">
        <v>2</v>
      </c>
      <c r="C5" s="5"/>
      <c r="D5" s="5"/>
      <c r="E5" s="5"/>
      <c r="F5" s="1"/>
      <c r="G5" s="1"/>
    </row>
    <row r="6">
      <c r="A6" s="1"/>
      <c r="B6" s="1"/>
      <c r="C6" s="1"/>
      <c r="D6" s="1"/>
      <c r="E6" s="1"/>
      <c r="F6" s="1"/>
      <c r="G6" s="1"/>
    </row>
    <row r="7" ht="15.0" customHeight="1">
      <c r="A7" s="1"/>
      <c r="B7" s="6" t="s">
        <v>3</v>
      </c>
      <c r="C7" s="7">
        <v>20.0</v>
      </c>
      <c r="D7" s="1"/>
      <c r="E7" s="1"/>
      <c r="F7" s="1"/>
      <c r="G7" s="8" t="s">
        <v>4</v>
      </c>
    </row>
    <row r="8" ht="15.0" customHeight="1">
      <c r="A8" s="1"/>
      <c r="B8" s="6" t="s">
        <v>5</v>
      </c>
      <c r="C8" s="9">
        <v>50000.0</v>
      </c>
      <c r="D8" s="1"/>
      <c r="E8" s="1"/>
      <c r="F8" s="1"/>
      <c r="G8" s="10" t="s">
        <v>6</v>
      </c>
    </row>
    <row r="9" ht="15.0" customHeight="1">
      <c r="A9" s="1"/>
      <c r="B9" s="6" t="s">
        <v>7</v>
      </c>
      <c r="C9" s="11">
        <v>0.75</v>
      </c>
      <c r="D9" s="1"/>
      <c r="E9" s="1"/>
      <c r="F9" s="1"/>
      <c r="G9" s="10" t="s">
        <v>8</v>
      </c>
    </row>
    <row r="10" ht="15.0" customHeight="1">
      <c r="A10" s="1"/>
      <c r="B10" s="6" t="s">
        <v>9</v>
      </c>
      <c r="C10" s="9">
        <v>3.0E7</v>
      </c>
      <c r="D10" s="1"/>
      <c r="E10" s="1"/>
      <c r="F10" s="1"/>
      <c r="G10" s="1"/>
    </row>
    <row r="11" ht="15.0" customHeight="1">
      <c r="A11" s="1"/>
      <c r="B11" s="6" t="s">
        <v>10</v>
      </c>
      <c r="C11" s="9">
        <v>15000.0</v>
      </c>
      <c r="D11" s="1"/>
      <c r="E11" s="1"/>
      <c r="F11" s="1"/>
      <c r="G11" s="10" t="s">
        <v>11</v>
      </c>
    </row>
    <row r="12" ht="15.0" customHeight="1">
      <c r="A12" s="1"/>
      <c r="B12" s="6" t="s">
        <v>12</v>
      </c>
      <c r="C12" s="7">
        <v>4.0</v>
      </c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 ht="15.0" customHeight="1">
      <c r="A14" s="1"/>
      <c r="B14" s="4" t="s">
        <v>13</v>
      </c>
      <c r="C14" s="5"/>
      <c r="D14" s="5"/>
      <c r="E14" s="5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 ht="15.0" customHeight="1">
      <c r="A16" s="1"/>
      <c r="B16" s="6" t="s">
        <v>14</v>
      </c>
      <c r="C16" s="11">
        <v>0.5</v>
      </c>
      <c r="D16" s="1"/>
      <c r="E16" s="1"/>
      <c r="F16" s="1"/>
      <c r="G16" s="10" t="s">
        <v>15</v>
      </c>
    </row>
    <row r="17" ht="15.0" customHeight="1">
      <c r="A17" s="1"/>
      <c r="B17" s="6" t="s">
        <v>16</v>
      </c>
      <c r="C17" s="11">
        <v>0.25</v>
      </c>
      <c r="D17" s="1"/>
      <c r="E17" s="1"/>
      <c r="F17" s="1"/>
      <c r="G17" s="10" t="s">
        <v>17</v>
      </c>
    </row>
    <row r="18" ht="15.0" customHeight="1">
      <c r="A18" s="1"/>
      <c r="B18" s="6" t="s">
        <v>18</v>
      </c>
      <c r="C18" s="9">
        <v>20000.0</v>
      </c>
      <c r="D18" s="1"/>
      <c r="E18" s="1"/>
      <c r="F18" s="1"/>
      <c r="G18" s="1"/>
    </row>
    <row r="19" ht="15.0" customHeight="1">
      <c r="A19" s="1"/>
      <c r="B19" s="6" t="s">
        <v>19</v>
      </c>
      <c r="C19" s="9">
        <v>150000.0</v>
      </c>
      <c r="D19" s="1"/>
      <c r="E19" s="1"/>
      <c r="F19" s="1"/>
      <c r="G19" s="10" t="s">
        <v>20</v>
      </c>
    </row>
    <row r="20" ht="15.0" customHeight="1">
      <c r="A20" s="1"/>
      <c r="B20" s="6" t="s">
        <v>21</v>
      </c>
      <c r="C20" s="9">
        <v>60000.0</v>
      </c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0" customHeight="1">
      <c r="A22" s="1"/>
      <c r="B22" s="4" t="s">
        <v>22</v>
      </c>
      <c r="C22" s="5"/>
      <c r="D22" s="5"/>
      <c r="E22" s="5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0" customHeight="1">
      <c r="A24" s="1"/>
      <c r="B24" s="6" t="s">
        <v>23</v>
      </c>
      <c r="C24" s="12">
        <f>C7*C8</f>
        <v>1000000</v>
      </c>
      <c r="D24" s="1"/>
      <c r="E24" s="1"/>
      <c r="F24" s="1"/>
      <c r="G24" s="1"/>
    </row>
    <row r="25" ht="15.0" customHeight="1">
      <c r="A25" s="1"/>
      <c r="B25" s="13" t="s">
        <v>24</v>
      </c>
      <c r="C25" s="14">
        <f>C24*C9</f>
        <v>750000</v>
      </c>
      <c r="D25" s="1"/>
      <c r="E25" s="1"/>
      <c r="F25" s="1"/>
      <c r="G25" s="1"/>
    </row>
    <row r="26" ht="15.0" customHeight="1">
      <c r="A26" s="1"/>
      <c r="B26" s="6" t="s">
        <v>25</v>
      </c>
      <c r="C26" s="12">
        <f>C25/12</f>
        <v>62500</v>
      </c>
      <c r="D26" s="1"/>
      <c r="E26" s="1"/>
      <c r="F26" s="1"/>
      <c r="G26" s="1"/>
    </row>
    <row r="27" ht="15.0" customHeight="1">
      <c r="A27" s="1"/>
      <c r="B27" s="6" t="s">
        <v>26</v>
      </c>
      <c r="C27" s="15">
        <f>C7*C12*12</f>
        <v>960</v>
      </c>
      <c r="D27" s="1"/>
      <c r="E27" s="1"/>
      <c r="F27" s="1"/>
      <c r="G27" s="1"/>
    </row>
    <row r="28" ht="15.0" customHeight="1">
      <c r="A28" s="1"/>
      <c r="B28" s="6" t="s">
        <v>27</v>
      </c>
      <c r="C28" s="12">
        <f>C27*C11</f>
        <v>14400000</v>
      </c>
      <c r="D28" s="1"/>
      <c r="E28" s="1"/>
      <c r="F28" s="1"/>
      <c r="G28" s="1"/>
    </row>
    <row r="29" ht="15.0" customHeight="1">
      <c r="A29" s="1"/>
      <c r="B29" s="6" t="s">
        <v>28</v>
      </c>
      <c r="C29" s="12">
        <f>C28/C7</f>
        <v>720000</v>
      </c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0" customHeight="1">
      <c r="A31" s="1"/>
      <c r="B31" s="4" t="s">
        <v>29</v>
      </c>
      <c r="C31" s="5"/>
      <c r="D31" s="5"/>
      <c r="E31" s="5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0" customHeight="1">
      <c r="A33" s="1"/>
      <c r="B33" s="6" t="s">
        <v>30</v>
      </c>
      <c r="C33" s="12">
        <f>C25*C16</f>
        <v>375000</v>
      </c>
      <c r="D33" s="1"/>
      <c r="E33" s="1"/>
      <c r="F33" s="1"/>
      <c r="G33" s="1"/>
    </row>
    <row r="34" ht="15.0" customHeight="1">
      <c r="A34" s="1"/>
      <c r="B34" s="6" t="s">
        <v>31</v>
      </c>
      <c r="C34" s="15">
        <f>C27*C17</f>
        <v>240</v>
      </c>
      <c r="D34" s="1"/>
      <c r="E34" s="1"/>
      <c r="F34" s="1"/>
      <c r="G34" s="1"/>
    </row>
    <row r="35" ht="15.0" customHeight="1">
      <c r="A35" s="1"/>
      <c r="B35" s="13" t="s">
        <v>32</v>
      </c>
      <c r="C35" s="14">
        <f>C34*C11</f>
        <v>3600000</v>
      </c>
      <c r="D35" s="1"/>
      <c r="E35" s="1"/>
      <c r="F35" s="1"/>
      <c r="G35" s="1"/>
    </row>
    <row r="36" ht="15.0" customHeight="1">
      <c r="A36" s="1"/>
      <c r="B36" s="6" t="s">
        <v>33</v>
      </c>
      <c r="C36" s="12">
        <f>C35/12</f>
        <v>300000</v>
      </c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0" customHeight="1">
      <c r="A38" s="1"/>
      <c r="B38" s="4" t="s">
        <v>34</v>
      </c>
      <c r="C38" s="5"/>
      <c r="D38" s="5"/>
      <c r="E38" s="5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0" customHeight="1">
      <c r="A40" s="1"/>
      <c r="B40" s="16"/>
      <c r="C40" s="16" t="s">
        <v>35</v>
      </c>
      <c r="D40" s="16" t="s">
        <v>36</v>
      </c>
      <c r="E40" s="16" t="s">
        <v>37</v>
      </c>
      <c r="F40" s="1"/>
      <c r="G40" s="1"/>
    </row>
    <row r="41" ht="15.0" customHeight="1">
      <c r="A41" s="1"/>
      <c r="B41" s="6" t="s">
        <v>38</v>
      </c>
      <c r="C41" s="12">
        <f>C18+C19</f>
        <v>170000</v>
      </c>
      <c r="D41" s="12">
        <f>C20</f>
        <v>60000</v>
      </c>
      <c r="E41" s="12">
        <f>C20</f>
        <v>60000</v>
      </c>
      <c r="F41" s="1"/>
      <c r="G41" s="1"/>
    </row>
    <row r="42" ht="15.0" customHeight="1">
      <c r="A42" s="1"/>
      <c r="B42" s="6" t="s">
        <v>39</v>
      </c>
      <c r="C42" s="12">
        <f>C33</f>
        <v>375000</v>
      </c>
      <c r="D42" s="12">
        <f>C33</f>
        <v>375000</v>
      </c>
      <c r="E42" s="12">
        <f>C33</f>
        <v>375000</v>
      </c>
      <c r="F42" s="1"/>
      <c r="G42" s="1"/>
    </row>
    <row r="43" ht="15.0" customHeight="1">
      <c r="A43" s="1"/>
      <c r="B43" s="6" t="s">
        <v>40</v>
      </c>
      <c r="C43" s="12">
        <f>C35</f>
        <v>3600000</v>
      </c>
      <c r="D43" s="12">
        <f>C35</f>
        <v>3600000</v>
      </c>
      <c r="E43" s="12">
        <f>C35</f>
        <v>3600000</v>
      </c>
      <c r="F43" s="1"/>
      <c r="G43" s="1"/>
    </row>
    <row r="44" ht="15.0" customHeight="1">
      <c r="A44" s="1"/>
      <c r="B44" s="13" t="s">
        <v>41</v>
      </c>
      <c r="C44" s="17">
        <f t="shared" ref="C44:E44" si="1">C42+C43</f>
        <v>3975000</v>
      </c>
      <c r="D44" s="17">
        <f t="shared" si="1"/>
        <v>3975000</v>
      </c>
      <c r="E44" s="17">
        <f t="shared" si="1"/>
        <v>3975000</v>
      </c>
      <c r="F44" s="1"/>
      <c r="G44" s="1"/>
    </row>
    <row r="45" ht="15.0" customHeight="1">
      <c r="A45" s="1"/>
      <c r="B45" s="13" t="s">
        <v>42</v>
      </c>
      <c r="C45" s="18">
        <f t="shared" ref="C45:E45" si="2">C44-C41</f>
        <v>3805000</v>
      </c>
      <c r="D45" s="18">
        <f t="shared" si="2"/>
        <v>3915000</v>
      </c>
      <c r="E45" s="18">
        <f t="shared" si="2"/>
        <v>3915000</v>
      </c>
      <c r="F45" s="1"/>
      <c r="G45" s="1"/>
    </row>
    <row r="46" ht="15.0" customHeight="1">
      <c r="A46" s="1"/>
      <c r="B46" s="13" t="s">
        <v>43</v>
      </c>
      <c r="C46" s="19">
        <f>C45</f>
        <v>3805000</v>
      </c>
      <c r="D46" s="19">
        <f t="shared" ref="D46:E46" si="3">C46+D45</f>
        <v>7720000</v>
      </c>
      <c r="E46" s="19">
        <f t="shared" si="3"/>
        <v>11635000</v>
      </c>
      <c r="F46" s="1"/>
      <c r="G46" s="1"/>
    </row>
    <row r="47" ht="15.0" customHeight="1">
      <c r="A47" s="1"/>
      <c r="B47" s="13" t="s">
        <v>44</v>
      </c>
      <c r="C47" s="20">
        <f t="shared" ref="C47:E47" si="4">IF(C41&gt;0,C45/C41,0)</f>
        <v>22.38235294</v>
      </c>
      <c r="D47" s="20">
        <f t="shared" si="4"/>
        <v>65.25</v>
      </c>
      <c r="E47" s="20">
        <f t="shared" si="4"/>
        <v>65.25</v>
      </c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0" customHeight="1">
      <c r="A49" s="1"/>
      <c r="B49" s="4" t="s">
        <v>45</v>
      </c>
      <c r="C49" s="5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0" customHeight="1">
      <c r="A51" s="1"/>
      <c r="B51" s="6" t="s">
        <v>46</v>
      </c>
      <c r="C51" s="12">
        <f>C18+C19</f>
        <v>170000</v>
      </c>
      <c r="D51" s="1"/>
      <c r="E51" s="1"/>
      <c r="F51" s="1"/>
      <c r="G51" s="1"/>
    </row>
    <row r="52" ht="15.0" customHeight="1">
      <c r="A52" s="1"/>
      <c r="B52" s="6" t="s">
        <v>47</v>
      </c>
      <c r="C52" s="12">
        <f>C44/12</f>
        <v>331250</v>
      </c>
      <c r="D52" s="1"/>
      <c r="E52" s="1"/>
      <c r="F52" s="1"/>
      <c r="G52" s="1"/>
    </row>
    <row r="53" ht="15.0" customHeight="1">
      <c r="A53" s="1"/>
      <c r="B53" s="13" t="s">
        <v>48</v>
      </c>
      <c r="C53" s="21">
        <f>IF(C52&gt;0,ROUNDUP(C51/C52,0),"N/A")</f>
        <v>1</v>
      </c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0" customHeight="1">
      <c r="A55" s="1"/>
      <c r="B55" s="4" t="s">
        <v>49</v>
      </c>
      <c r="C55" s="5"/>
      <c r="D55" s="5"/>
      <c r="E55" s="5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0" customHeight="1">
      <c r="A57" s="1"/>
      <c r="B57" s="6" t="s">
        <v>50</v>
      </c>
      <c r="C57" s="9">
        <v>200000.0</v>
      </c>
      <c r="D57" s="1"/>
      <c r="E57" s="1"/>
      <c r="F57" s="1"/>
      <c r="G57" s="10" t="s">
        <v>51</v>
      </c>
    </row>
    <row r="58" ht="15.75" customHeight="1">
      <c r="A58" s="1"/>
      <c r="B58" s="1"/>
      <c r="C58" s="1"/>
      <c r="D58" s="1"/>
      <c r="E58" s="1"/>
      <c r="F58" s="1"/>
      <c r="G58" s="1"/>
    </row>
    <row r="59" ht="15.0" customHeight="1">
      <c r="A59" s="1"/>
      <c r="B59" s="16"/>
      <c r="C59" s="16" t="s">
        <v>35</v>
      </c>
      <c r="D59" s="16" t="s">
        <v>36</v>
      </c>
      <c r="E59" s="16" t="s">
        <v>37</v>
      </c>
      <c r="F59" s="1"/>
      <c r="G59" s="1"/>
    </row>
    <row r="60" ht="15.0" customHeight="1">
      <c r="A60" s="1"/>
      <c r="B60" s="6" t="s">
        <v>52</v>
      </c>
      <c r="C60" s="12">
        <f>C57</f>
        <v>200000</v>
      </c>
      <c r="D60" s="12">
        <f>C57*2</f>
        <v>400000</v>
      </c>
      <c r="E60" s="12">
        <f>C57*3</f>
        <v>600000</v>
      </c>
      <c r="F60" s="1"/>
      <c r="G60" s="1"/>
    </row>
    <row r="61" ht="15.0" customHeight="1">
      <c r="A61" s="1"/>
      <c r="B61" s="6" t="s">
        <v>53</v>
      </c>
      <c r="C61" s="12">
        <f>C41</f>
        <v>170000</v>
      </c>
      <c r="D61" s="12">
        <f>C41+D41</f>
        <v>230000</v>
      </c>
      <c r="E61" s="12">
        <f>C41+D41+E41</f>
        <v>290000</v>
      </c>
      <c r="F61" s="1"/>
      <c r="G61" s="1"/>
    </row>
    <row r="62" ht="15.0" customHeight="1">
      <c r="A62" s="1"/>
      <c r="B62" s="13" t="s">
        <v>54</v>
      </c>
      <c r="C62" s="18">
        <f t="shared" ref="C62:E62" si="5">C60-C61</f>
        <v>30000</v>
      </c>
      <c r="D62" s="18">
        <f t="shared" si="5"/>
        <v>170000</v>
      </c>
      <c r="E62" s="18">
        <f t="shared" si="5"/>
        <v>310000</v>
      </c>
      <c r="F62" s="1"/>
      <c r="G62" s="1"/>
    </row>
    <row r="63" ht="15.0" customHeight="1">
      <c r="A63" s="1"/>
      <c r="B63" s="6" t="s">
        <v>55</v>
      </c>
      <c r="C63" s="22" t="s">
        <v>56</v>
      </c>
      <c r="D63" s="22" t="s">
        <v>56</v>
      </c>
      <c r="E63" s="22" t="s">
        <v>56</v>
      </c>
      <c r="F63" s="1"/>
      <c r="G63" s="1"/>
    </row>
    <row r="64" ht="15.0" customHeight="1">
      <c r="A64" s="1"/>
      <c r="B64" s="13" t="s">
        <v>57</v>
      </c>
      <c r="C64" s="23" t="s">
        <v>58</v>
      </c>
      <c r="D64" s="23" t="s">
        <v>58</v>
      </c>
      <c r="E64" s="23" t="s">
        <v>58</v>
      </c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0" customHeight="1">
      <c r="A66" s="1"/>
      <c r="B66" s="10" t="s">
        <v>59</v>
      </c>
      <c r="F66" s="1"/>
      <c r="G66" s="1"/>
    </row>
    <row r="67" ht="15.0" customHeight="1">
      <c r="A67" s="1"/>
      <c r="B67" s="10" t="s">
        <v>60</v>
      </c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4">
    <mergeCell ref="B2:E2"/>
    <mergeCell ref="B3:E3"/>
    <mergeCell ref="B66:E66"/>
    <mergeCell ref="B67:E67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2026-04-08T17:38:59Z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